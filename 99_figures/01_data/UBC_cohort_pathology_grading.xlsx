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UoE/AorticStenOmics/Aortic_StenOmics/99_figures/01_data/"/>
    </mc:Choice>
  </mc:AlternateContent>
  <xr:revisionPtr revIDLastSave="0" documentId="13_ncr:1_{81271618-F1EE-0640-BF46-1338295F5994}" xr6:coauthVersionLast="47" xr6:coauthVersionMax="47" xr10:uidLastSave="{00000000-0000-0000-0000-000000000000}"/>
  <bookViews>
    <workbookView xWindow="440" yWindow="5420" windowWidth="26040" windowHeight="14680" xr2:uid="{4E9B6A64-187C-5D4F-BC97-89DEED0B8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6" i="1"/>
  <c r="C13" i="1"/>
  <c r="C10" i="1"/>
  <c r="C6" i="1"/>
  <c r="C5" i="1"/>
  <c r="C26" i="1"/>
  <c r="C21" i="1"/>
  <c r="C28" i="1"/>
  <c r="C25" i="1"/>
  <c r="C8" i="1"/>
  <c r="C17" i="1"/>
  <c r="C9" i="1"/>
  <c r="C18" i="1"/>
  <c r="C3" i="1"/>
  <c r="C12" i="1"/>
  <c r="C20" i="1"/>
  <c r="C15" i="1"/>
  <c r="C16" i="1"/>
  <c r="C27" i="1"/>
  <c r="C37" i="1"/>
  <c r="C4" i="1"/>
  <c r="C2" i="1"/>
  <c r="C22" i="1"/>
  <c r="C29" i="1"/>
  <c r="C38" i="1"/>
  <c r="C32" i="1"/>
  <c r="C24" i="1"/>
  <c r="C33" i="1"/>
  <c r="C19" i="1"/>
  <c r="C11" i="1"/>
  <c r="C7" i="1"/>
  <c r="C35" i="1"/>
  <c r="C30" i="1"/>
  <c r="C34" i="1"/>
  <c r="C23" i="1"/>
</calcChain>
</file>

<file path=xl/sharedStrings.xml><?xml version="1.0" encoding="utf-8"?>
<sst xmlns="http://schemas.openxmlformats.org/spreadsheetml/2006/main" count="283" uniqueCount="143">
  <si>
    <t>BJWIT</t>
  </si>
  <si>
    <t>A1</t>
  </si>
  <si>
    <t>UBC</t>
  </si>
  <si>
    <t>B1</t>
  </si>
  <si>
    <t>BJWIT-A1</t>
  </si>
  <si>
    <t>BJWIT-B1</t>
  </si>
  <si>
    <t>B378A</t>
  </si>
  <si>
    <t>C1</t>
  </si>
  <si>
    <t>B4TPY</t>
  </si>
  <si>
    <t>D1</t>
  </si>
  <si>
    <t>B8NHW</t>
  </si>
  <si>
    <t>BCRNQ</t>
  </si>
  <si>
    <t>BGZN7</t>
  </si>
  <si>
    <t>BLNVB</t>
  </si>
  <si>
    <t>BLRYF</t>
  </si>
  <si>
    <t>BM7MO</t>
  </si>
  <si>
    <t>BMYUL</t>
  </si>
  <si>
    <t>BPPM6</t>
  </si>
  <si>
    <t>BQCK7</t>
  </si>
  <si>
    <t>CureAS O2N H1A</t>
  </si>
  <si>
    <t>O2N</t>
  </si>
  <si>
    <t>CureAS RW7 H1A</t>
  </si>
  <si>
    <t>RW7</t>
  </si>
  <si>
    <t>CureAS XZD H1A</t>
  </si>
  <si>
    <t>XZD</t>
  </si>
  <si>
    <t>CureAS INV H1A</t>
  </si>
  <si>
    <t>INV</t>
  </si>
  <si>
    <t>CureAS GW1 H1A</t>
  </si>
  <si>
    <t>GW1</t>
  </si>
  <si>
    <t>CureAS CBN H1A</t>
  </si>
  <si>
    <t>CBN</t>
  </si>
  <si>
    <t>CureAS C5H H1A</t>
  </si>
  <si>
    <t>C5H</t>
  </si>
  <si>
    <t>CureAS PJN H29A</t>
  </si>
  <si>
    <t>PJN</t>
  </si>
  <si>
    <t>CureAS MK0 H29A</t>
  </si>
  <si>
    <t>MK0</t>
  </si>
  <si>
    <t>CureAS Q8H H1A</t>
  </si>
  <si>
    <t>Q8H</t>
  </si>
  <si>
    <t>CureAS PGS H1A</t>
  </si>
  <si>
    <t>PGS</t>
  </si>
  <si>
    <t>CureAS DII H29A</t>
  </si>
  <si>
    <t>DII</t>
  </si>
  <si>
    <t>CureAS JU7 H29A</t>
  </si>
  <si>
    <t>JU7</t>
  </si>
  <si>
    <t>CureAS EZ5 H1A</t>
  </si>
  <si>
    <t>EZ5</t>
  </si>
  <si>
    <t>CureAS KS4 H29A</t>
  </si>
  <si>
    <t>KS4</t>
  </si>
  <si>
    <t>CureAS AKY H29A</t>
  </si>
  <si>
    <t>AKY</t>
  </si>
  <si>
    <t>CureAS I4Q H29A</t>
  </si>
  <si>
    <t>I4Q</t>
  </si>
  <si>
    <t>CureAS M6Y H1A</t>
  </si>
  <si>
    <t>M6Y</t>
  </si>
  <si>
    <t>CureAS JHP H1A</t>
  </si>
  <si>
    <t>JHP</t>
  </si>
  <si>
    <t>CureAS JI1 H1A</t>
  </si>
  <si>
    <t>JI1</t>
  </si>
  <si>
    <t>CureAS PUM H1A</t>
  </si>
  <si>
    <t>PUM</t>
  </si>
  <si>
    <t>CureAS Y84 H1A</t>
  </si>
  <si>
    <t>Y84</t>
  </si>
  <si>
    <t>CureAS C4J</t>
  </si>
  <si>
    <t>C4J</t>
  </si>
  <si>
    <t>CureAS ACL</t>
  </si>
  <si>
    <t>ACL</t>
  </si>
  <si>
    <t>CureAS N60</t>
  </si>
  <si>
    <t>N60</t>
  </si>
  <si>
    <t>CureAS QZJ H29A</t>
  </si>
  <si>
    <t>QZJ</t>
  </si>
  <si>
    <t>CureAS YDA H29A</t>
  </si>
  <si>
    <t>YDA</t>
  </si>
  <si>
    <t>CureAS SFA H1A</t>
  </si>
  <si>
    <t>SFA</t>
  </si>
  <si>
    <t>CureAS PAA H1A</t>
  </si>
  <si>
    <t>PAA</t>
  </si>
  <si>
    <t>CureAS TPK H1A</t>
  </si>
  <si>
    <t>TPK</t>
  </si>
  <si>
    <t>CureAS LTO H30A</t>
  </si>
  <si>
    <t>LTO</t>
  </si>
  <si>
    <t>CureAS HFU H1A</t>
  </si>
  <si>
    <t>HFU</t>
  </si>
  <si>
    <t>CureAS DA5 H1A</t>
  </si>
  <si>
    <t>DA5</t>
  </si>
  <si>
    <t>CureAS V5R H30A</t>
  </si>
  <si>
    <t>V5R</t>
  </si>
  <si>
    <t>CureAS R9L H30A</t>
  </si>
  <si>
    <t>R9L</t>
  </si>
  <si>
    <t>CureAS UKG H1A</t>
  </si>
  <si>
    <t>UKG</t>
  </si>
  <si>
    <t>4A</t>
  </si>
  <si>
    <t>severe</t>
  </si>
  <si>
    <t>mildmoderate</t>
  </si>
  <si>
    <t>control</t>
  </si>
  <si>
    <t>Block</t>
  </si>
  <si>
    <t>TMA_Coordinate</t>
  </si>
  <si>
    <t>Sample_ID</t>
  </si>
  <si>
    <t>Cohort</t>
  </si>
  <si>
    <t>Grade</t>
  </si>
  <si>
    <t>Patient_ID_3</t>
  </si>
  <si>
    <t>Clinical_Classification</t>
  </si>
  <si>
    <t>CureAS JBJ</t>
  </si>
  <si>
    <t>CureAS Z27</t>
  </si>
  <si>
    <t>JBJ</t>
  </si>
  <si>
    <t>Z27</t>
  </si>
  <si>
    <t>4B</t>
  </si>
  <si>
    <t>Grade_Refined</t>
  </si>
  <si>
    <t>Patient_ID_Full</t>
  </si>
  <si>
    <t>Donor_ID</t>
  </si>
  <si>
    <t>CureAS AKY</t>
  </si>
  <si>
    <t>CureAS CBN</t>
  </si>
  <si>
    <t>CureAS DII</t>
  </si>
  <si>
    <t>CureAS HFU</t>
  </si>
  <si>
    <t>CureAS INV</t>
  </si>
  <si>
    <t>CureAS JHP</t>
  </si>
  <si>
    <t>CureAS LTO</t>
  </si>
  <si>
    <t>CureAS PAA</t>
  </si>
  <si>
    <t>CureAS PGS</t>
  </si>
  <si>
    <t>CureAS PJN</t>
  </si>
  <si>
    <t>CureAS PUM</t>
  </si>
  <si>
    <t>CureAS QZJ</t>
  </si>
  <si>
    <t>CureAS SFA</t>
  </si>
  <si>
    <t>CureAS TPK</t>
  </si>
  <si>
    <t>CureAS UKG</t>
  </si>
  <si>
    <t>CureAS XZD</t>
  </si>
  <si>
    <t>CureAS YDA</t>
  </si>
  <si>
    <t>CureAS C5H</t>
  </si>
  <si>
    <t>CureAS DA5</t>
  </si>
  <si>
    <t>CureAS EZ5</t>
  </si>
  <si>
    <t>CureAS GW1</t>
  </si>
  <si>
    <t>CureAS I4Q</t>
  </si>
  <si>
    <t>CureAS JI1</t>
  </si>
  <si>
    <t>CureAS JU7</t>
  </si>
  <si>
    <t>CureAS KS4</t>
  </si>
  <si>
    <t>CureAS M6Y</t>
  </si>
  <si>
    <t>CureAS MK0</t>
  </si>
  <si>
    <t>CureAS O2N</t>
  </si>
  <si>
    <t>CureAS Q8H</t>
  </si>
  <si>
    <t>CureAS R9L</t>
  </si>
  <si>
    <t>CureAS RW7</t>
  </si>
  <si>
    <t>CureAS V5R</t>
  </si>
  <si>
    <t>CureAS Y84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</si>
</sst>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C85A-C7A4-234C-B322-44A7C45F961F}">
  <dimension ref="A1:J39"/>
  <sheetViews>
    <sheetView tabSelected="1" topLeftCell="A20" workbookViewId="0">
      <selection activeCell="I32" sqref="I32"/>
    </sheetView>
  </sheetViews>
  <sheetFormatPr baseColWidth="10" defaultRowHeight="16" x14ac:dyDescent="0.2"/>
  <cols>
    <col min="1" max="1" width="7.6640625" bestFit="1" customWidth="1"/>
    <col min="2" max="2" width="14.5" bestFit="1" customWidth="1"/>
    <col min="3" max="3" width="10.6640625" bestFit="1" customWidth="1"/>
    <col min="4" max="4" width="6.83203125" bestFit="1" customWidth="1"/>
    <col min="5" max="5" width="6.1640625" bestFit="1" customWidth="1"/>
    <col min="6" max="6" width="13.1640625" bestFit="1" customWidth="1"/>
    <col min="7" max="7" width="15.6640625" bestFit="1" customWidth="1"/>
    <col min="8" max="8" width="11.5" bestFit="1" customWidth="1"/>
    <col min="9" max="9" width="11.5" customWidth="1"/>
    <col min="10" max="10" width="19.6640625" bestFit="1" customWidth="1"/>
  </cols>
  <sheetData>
    <row r="1" spans="1:10" x14ac:dyDescent="0.2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107</v>
      </c>
      <c r="G1" t="s">
        <v>108</v>
      </c>
      <c r="H1" t="s">
        <v>100</v>
      </c>
      <c r="I1" t="s">
        <v>109</v>
      </c>
      <c r="J1" t="s">
        <v>101</v>
      </c>
    </row>
    <row r="2" spans="1:10" x14ac:dyDescent="0.2">
      <c r="A2" t="s">
        <v>14</v>
      </c>
      <c r="B2" t="s">
        <v>3</v>
      </c>
      <c r="C2" t="str">
        <f t="shared" ref="C2:C13" si="0">_xlfn.CONCAT(A2,"-",B2)</f>
        <v>BLRYF-B1</v>
      </c>
      <c r="D2" t="s">
        <v>2</v>
      </c>
      <c r="E2">
        <v>2</v>
      </c>
      <c r="F2">
        <v>2</v>
      </c>
      <c r="G2" t="s">
        <v>65</v>
      </c>
      <c r="H2" t="s">
        <v>66</v>
      </c>
      <c r="I2" t="s">
        <v>65</v>
      </c>
      <c r="J2" t="s">
        <v>94</v>
      </c>
    </row>
    <row r="3" spans="1:10" x14ac:dyDescent="0.2">
      <c r="A3" t="s">
        <v>12</v>
      </c>
      <c r="B3" t="s">
        <v>3</v>
      </c>
      <c r="C3" t="str">
        <f t="shared" si="0"/>
        <v>BGZN7-B1</v>
      </c>
      <c r="D3" t="s">
        <v>2</v>
      </c>
      <c r="E3">
        <v>2</v>
      </c>
      <c r="F3">
        <v>2</v>
      </c>
      <c r="G3" t="s">
        <v>49</v>
      </c>
      <c r="H3" t="s">
        <v>50</v>
      </c>
      <c r="I3" t="s">
        <v>110</v>
      </c>
      <c r="J3" t="s">
        <v>94</v>
      </c>
    </row>
    <row r="4" spans="1:10" x14ac:dyDescent="0.2">
      <c r="A4" t="s">
        <v>14</v>
      </c>
      <c r="B4" t="s">
        <v>1</v>
      </c>
      <c r="C4" t="str">
        <f t="shared" si="0"/>
        <v>BLRYF-A1</v>
      </c>
      <c r="D4" t="s">
        <v>2</v>
      </c>
      <c r="E4">
        <v>1</v>
      </c>
      <c r="F4">
        <v>1</v>
      </c>
      <c r="G4" t="s">
        <v>63</v>
      </c>
      <c r="H4" t="s">
        <v>64</v>
      </c>
      <c r="I4" t="s">
        <v>63</v>
      </c>
      <c r="J4" t="s">
        <v>94</v>
      </c>
    </row>
    <row r="5" spans="1:10" x14ac:dyDescent="0.2">
      <c r="A5" t="s">
        <v>8</v>
      </c>
      <c r="B5" t="s">
        <v>9</v>
      </c>
      <c r="C5" t="str">
        <f t="shared" si="0"/>
        <v>B4TPY-D1</v>
      </c>
      <c r="D5" t="s">
        <v>2</v>
      </c>
      <c r="E5">
        <v>3</v>
      </c>
      <c r="F5">
        <v>3</v>
      </c>
      <c r="G5" t="s">
        <v>31</v>
      </c>
      <c r="H5" t="s">
        <v>32</v>
      </c>
      <c r="I5" t="s">
        <v>127</v>
      </c>
      <c r="J5" t="s">
        <v>92</v>
      </c>
    </row>
    <row r="6" spans="1:10" x14ac:dyDescent="0.2">
      <c r="A6" t="s">
        <v>8</v>
      </c>
      <c r="B6" t="s">
        <v>7</v>
      </c>
      <c r="C6" t="str">
        <f t="shared" si="0"/>
        <v>B4TPY-C1</v>
      </c>
      <c r="D6" t="s">
        <v>2</v>
      </c>
      <c r="E6">
        <v>3</v>
      </c>
      <c r="F6">
        <v>3</v>
      </c>
      <c r="G6" t="s">
        <v>29</v>
      </c>
      <c r="H6" t="s">
        <v>30</v>
      </c>
      <c r="I6" t="s">
        <v>111</v>
      </c>
      <c r="J6" t="s">
        <v>92</v>
      </c>
    </row>
    <row r="7" spans="1:10" x14ac:dyDescent="0.2">
      <c r="A7" t="s">
        <v>17</v>
      </c>
      <c r="B7" t="s">
        <v>7</v>
      </c>
      <c r="C7" t="str">
        <f t="shared" si="0"/>
        <v>BPPM6-C1</v>
      </c>
      <c r="D7" t="s">
        <v>2</v>
      </c>
      <c r="E7">
        <v>2</v>
      </c>
      <c r="F7">
        <v>2</v>
      </c>
      <c r="G7" t="s">
        <v>83</v>
      </c>
      <c r="H7" t="s">
        <v>84</v>
      </c>
      <c r="I7" t="s">
        <v>128</v>
      </c>
      <c r="J7" t="s">
        <v>92</v>
      </c>
    </row>
    <row r="8" spans="1:10" x14ac:dyDescent="0.2">
      <c r="A8" t="s">
        <v>11</v>
      </c>
      <c r="B8" t="s">
        <v>1</v>
      </c>
      <c r="C8" t="str">
        <f t="shared" si="0"/>
        <v>BCRNQ-A1</v>
      </c>
      <c r="D8" t="s">
        <v>2</v>
      </c>
      <c r="E8">
        <v>2</v>
      </c>
      <c r="F8">
        <v>2</v>
      </c>
      <c r="G8" t="s">
        <v>41</v>
      </c>
      <c r="H8" t="s">
        <v>42</v>
      </c>
      <c r="I8" t="s">
        <v>112</v>
      </c>
      <c r="J8" t="s">
        <v>94</v>
      </c>
    </row>
    <row r="9" spans="1:10" x14ac:dyDescent="0.2">
      <c r="A9" t="s">
        <v>11</v>
      </c>
      <c r="B9" t="s">
        <v>7</v>
      </c>
      <c r="C9" t="str">
        <f t="shared" si="0"/>
        <v>BCRNQ-C1</v>
      </c>
      <c r="D9" t="s">
        <v>2</v>
      </c>
      <c r="E9">
        <v>2</v>
      </c>
      <c r="F9">
        <v>2</v>
      </c>
      <c r="G9" t="s">
        <v>45</v>
      </c>
      <c r="H9" t="s">
        <v>46</v>
      </c>
      <c r="I9" t="s">
        <v>129</v>
      </c>
      <c r="J9" t="s">
        <v>92</v>
      </c>
    </row>
    <row r="10" spans="1:10" x14ac:dyDescent="0.2">
      <c r="A10" t="s">
        <v>8</v>
      </c>
      <c r="B10" t="s">
        <v>3</v>
      </c>
      <c r="C10" t="str">
        <f t="shared" si="0"/>
        <v>B4TPY-B1</v>
      </c>
      <c r="D10" t="s">
        <v>2</v>
      </c>
      <c r="E10">
        <v>2</v>
      </c>
      <c r="F10">
        <v>2</v>
      </c>
      <c r="G10" t="s">
        <v>27</v>
      </c>
      <c r="H10" t="s">
        <v>28</v>
      </c>
      <c r="I10" t="s">
        <v>130</v>
      </c>
      <c r="J10" t="s">
        <v>93</v>
      </c>
    </row>
    <row r="11" spans="1:10" x14ac:dyDescent="0.2">
      <c r="A11" t="s">
        <v>17</v>
      </c>
      <c r="B11" t="s">
        <v>3</v>
      </c>
      <c r="C11" t="str">
        <f t="shared" si="0"/>
        <v>BPPM6-B1</v>
      </c>
      <c r="D11" t="s">
        <v>2</v>
      </c>
      <c r="E11">
        <v>2</v>
      </c>
      <c r="F11">
        <v>2</v>
      </c>
      <c r="G11" t="s">
        <v>81</v>
      </c>
      <c r="H11" t="s">
        <v>82</v>
      </c>
      <c r="I11" t="s">
        <v>113</v>
      </c>
      <c r="J11" t="s">
        <v>92</v>
      </c>
    </row>
    <row r="12" spans="1:10" x14ac:dyDescent="0.2">
      <c r="A12" t="s">
        <v>12</v>
      </c>
      <c r="B12" t="s">
        <v>7</v>
      </c>
      <c r="C12" t="str">
        <f t="shared" si="0"/>
        <v>BGZN7-C1</v>
      </c>
      <c r="D12" t="s">
        <v>2</v>
      </c>
      <c r="E12">
        <v>2</v>
      </c>
      <c r="F12">
        <v>2</v>
      </c>
      <c r="G12" t="s">
        <v>51</v>
      </c>
      <c r="H12" t="s">
        <v>52</v>
      </c>
      <c r="I12" t="s">
        <v>131</v>
      </c>
      <c r="J12" t="s">
        <v>94</v>
      </c>
    </row>
    <row r="13" spans="1:10" x14ac:dyDescent="0.2">
      <c r="A13" t="s">
        <v>8</v>
      </c>
      <c r="B13" t="s">
        <v>1</v>
      </c>
      <c r="C13" t="str">
        <f t="shared" si="0"/>
        <v>B4TPY-A1</v>
      </c>
      <c r="D13" t="s">
        <v>2</v>
      </c>
      <c r="E13">
        <v>3</v>
      </c>
      <c r="F13">
        <v>3</v>
      </c>
      <c r="G13" t="s">
        <v>25</v>
      </c>
      <c r="H13" t="s">
        <v>26</v>
      </c>
      <c r="I13" t="s">
        <v>114</v>
      </c>
      <c r="J13" t="s">
        <v>92</v>
      </c>
    </row>
    <row r="14" spans="1:10" x14ac:dyDescent="0.2">
      <c r="A14" t="s">
        <v>0</v>
      </c>
      <c r="B14" t="s">
        <v>1</v>
      </c>
      <c r="C14" t="s">
        <v>4</v>
      </c>
      <c r="D14" t="s">
        <v>2</v>
      </c>
      <c r="E14">
        <v>3</v>
      </c>
      <c r="F14">
        <v>3</v>
      </c>
      <c r="G14" t="s">
        <v>102</v>
      </c>
      <c r="H14" t="s">
        <v>104</v>
      </c>
      <c r="I14" t="s">
        <v>102</v>
      </c>
      <c r="J14" t="s">
        <v>92</v>
      </c>
    </row>
    <row r="15" spans="1:10" x14ac:dyDescent="0.2">
      <c r="A15" t="s">
        <v>13</v>
      </c>
      <c r="B15" t="s">
        <v>1</v>
      </c>
      <c r="C15" t="str">
        <f t="shared" ref="C15:C38" si="1">_xlfn.CONCAT(A15,"-",B15)</f>
        <v>BLNVB-A1</v>
      </c>
      <c r="D15" t="s">
        <v>2</v>
      </c>
      <c r="E15">
        <v>2</v>
      </c>
      <c r="F15">
        <v>2</v>
      </c>
      <c r="G15" t="s">
        <v>55</v>
      </c>
      <c r="H15" t="s">
        <v>56</v>
      </c>
      <c r="I15" t="s">
        <v>115</v>
      </c>
      <c r="J15" t="s">
        <v>93</v>
      </c>
    </row>
    <row r="16" spans="1:10" x14ac:dyDescent="0.2">
      <c r="A16" t="s">
        <v>13</v>
      </c>
      <c r="B16" t="s">
        <v>3</v>
      </c>
      <c r="C16" t="str">
        <f t="shared" si="1"/>
        <v>BLNVB-B1</v>
      </c>
      <c r="D16" t="s">
        <v>2</v>
      </c>
      <c r="E16">
        <v>2</v>
      </c>
      <c r="F16">
        <v>2</v>
      </c>
      <c r="G16" t="s">
        <v>57</v>
      </c>
      <c r="H16" t="s">
        <v>58</v>
      </c>
      <c r="I16" t="s">
        <v>132</v>
      </c>
      <c r="J16" t="s">
        <v>93</v>
      </c>
    </row>
    <row r="17" spans="1:10" x14ac:dyDescent="0.2">
      <c r="A17" t="s">
        <v>11</v>
      </c>
      <c r="B17" t="s">
        <v>3</v>
      </c>
      <c r="C17" t="str">
        <f t="shared" si="1"/>
        <v>BCRNQ-B1</v>
      </c>
      <c r="D17" t="s">
        <v>2</v>
      </c>
      <c r="E17">
        <v>2</v>
      </c>
      <c r="F17">
        <v>2</v>
      </c>
      <c r="G17" t="s">
        <v>43</v>
      </c>
      <c r="H17" t="s">
        <v>44</v>
      </c>
      <c r="I17" t="s">
        <v>133</v>
      </c>
      <c r="J17" t="s">
        <v>94</v>
      </c>
    </row>
    <row r="18" spans="1:10" x14ac:dyDescent="0.2">
      <c r="A18" t="s">
        <v>12</v>
      </c>
      <c r="B18" t="s">
        <v>1</v>
      </c>
      <c r="C18" t="str">
        <f t="shared" si="1"/>
        <v>BGZN7-A1</v>
      </c>
      <c r="D18" t="s">
        <v>2</v>
      </c>
      <c r="E18">
        <v>2</v>
      </c>
      <c r="F18">
        <v>2</v>
      </c>
      <c r="G18" t="s">
        <v>47</v>
      </c>
      <c r="H18" t="s">
        <v>48</v>
      </c>
      <c r="I18" t="s">
        <v>134</v>
      </c>
      <c r="J18" t="s">
        <v>94</v>
      </c>
    </row>
    <row r="19" spans="1:10" x14ac:dyDescent="0.2">
      <c r="A19" t="s">
        <v>17</v>
      </c>
      <c r="B19" t="s">
        <v>1</v>
      </c>
      <c r="C19" t="str">
        <f t="shared" si="1"/>
        <v>BPPM6-A1</v>
      </c>
      <c r="D19" t="s">
        <v>2</v>
      </c>
      <c r="E19">
        <v>2</v>
      </c>
      <c r="F19">
        <v>2</v>
      </c>
      <c r="G19" t="s">
        <v>79</v>
      </c>
      <c r="H19" t="s">
        <v>80</v>
      </c>
      <c r="I19" t="s">
        <v>116</v>
      </c>
      <c r="J19" t="s">
        <v>93</v>
      </c>
    </row>
    <row r="20" spans="1:10" x14ac:dyDescent="0.2">
      <c r="A20" t="s">
        <v>12</v>
      </c>
      <c r="B20" t="s">
        <v>9</v>
      </c>
      <c r="C20" t="str">
        <f t="shared" si="1"/>
        <v>BGZN7-D1</v>
      </c>
      <c r="D20" t="s">
        <v>2</v>
      </c>
      <c r="E20">
        <v>3</v>
      </c>
      <c r="F20">
        <v>3</v>
      </c>
      <c r="G20" t="s">
        <v>53</v>
      </c>
      <c r="H20" t="s">
        <v>54</v>
      </c>
      <c r="I20" t="s">
        <v>135</v>
      </c>
      <c r="J20" t="s">
        <v>93</v>
      </c>
    </row>
    <row r="21" spans="1:10" x14ac:dyDescent="0.2">
      <c r="A21" t="s">
        <v>10</v>
      </c>
      <c r="B21" t="s">
        <v>3</v>
      </c>
      <c r="C21" t="str">
        <f t="shared" si="1"/>
        <v>B8NHW-B1</v>
      </c>
      <c r="D21" t="s">
        <v>2</v>
      </c>
      <c r="E21">
        <v>1</v>
      </c>
      <c r="F21">
        <v>1</v>
      </c>
      <c r="G21" t="s">
        <v>35</v>
      </c>
      <c r="H21" t="s">
        <v>36</v>
      </c>
      <c r="I21" t="s">
        <v>136</v>
      </c>
      <c r="J21" t="s">
        <v>94</v>
      </c>
    </row>
    <row r="22" spans="1:10" x14ac:dyDescent="0.2">
      <c r="A22" t="s">
        <v>14</v>
      </c>
      <c r="B22" t="s">
        <v>7</v>
      </c>
      <c r="C22" t="str">
        <f t="shared" si="1"/>
        <v>BLRYF-C1</v>
      </c>
      <c r="D22" t="s">
        <v>2</v>
      </c>
      <c r="E22">
        <v>3</v>
      </c>
      <c r="F22">
        <v>3</v>
      </c>
      <c r="G22" t="s">
        <v>67</v>
      </c>
      <c r="H22" t="s">
        <v>68</v>
      </c>
      <c r="I22" t="s">
        <v>67</v>
      </c>
      <c r="J22" t="s">
        <v>92</v>
      </c>
    </row>
    <row r="23" spans="1:10" x14ac:dyDescent="0.2">
      <c r="A23" t="s">
        <v>6</v>
      </c>
      <c r="B23" t="s">
        <v>1</v>
      </c>
      <c r="C23" t="str">
        <f t="shared" si="1"/>
        <v>B378A-A1</v>
      </c>
      <c r="D23" t="s">
        <v>2</v>
      </c>
      <c r="E23">
        <v>2</v>
      </c>
      <c r="F23">
        <v>2</v>
      </c>
      <c r="G23" t="s">
        <v>19</v>
      </c>
      <c r="H23" t="s">
        <v>20</v>
      </c>
      <c r="I23" t="s">
        <v>137</v>
      </c>
      <c r="J23" t="s">
        <v>92</v>
      </c>
    </row>
    <row r="24" spans="1:10" x14ac:dyDescent="0.2">
      <c r="A24" t="s">
        <v>16</v>
      </c>
      <c r="B24" t="s">
        <v>1</v>
      </c>
      <c r="C24" t="str">
        <f t="shared" si="1"/>
        <v>BMYUL-A1</v>
      </c>
      <c r="D24" t="s">
        <v>2</v>
      </c>
      <c r="E24">
        <v>4</v>
      </c>
      <c r="F24" t="s">
        <v>91</v>
      </c>
      <c r="G24" t="s">
        <v>75</v>
      </c>
      <c r="H24" t="s">
        <v>76</v>
      </c>
      <c r="I24" t="s">
        <v>117</v>
      </c>
      <c r="J24" t="s">
        <v>92</v>
      </c>
    </row>
    <row r="25" spans="1:10" x14ac:dyDescent="0.2">
      <c r="A25" t="s">
        <v>10</v>
      </c>
      <c r="B25" t="s">
        <v>9</v>
      </c>
      <c r="C25" t="str">
        <f t="shared" si="1"/>
        <v>B8NHW-D1</v>
      </c>
      <c r="D25" t="s">
        <v>2</v>
      </c>
      <c r="E25">
        <v>2</v>
      </c>
      <c r="F25">
        <v>2</v>
      </c>
      <c r="G25" t="s">
        <v>39</v>
      </c>
      <c r="H25" t="s">
        <v>40</v>
      </c>
      <c r="I25" t="s">
        <v>118</v>
      </c>
      <c r="J25" t="s">
        <v>92</v>
      </c>
    </row>
    <row r="26" spans="1:10" x14ac:dyDescent="0.2">
      <c r="A26" t="s">
        <v>10</v>
      </c>
      <c r="B26" t="s">
        <v>1</v>
      </c>
      <c r="C26" t="str">
        <f t="shared" si="1"/>
        <v>B8NHW-A1</v>
      </c>
      <c r="D26" t="s">
        <v>2</v>
      </c>
      <c r="E26">
        <v>2</v>
      </c>
      <c r="F26">
        <v>2</v>
      </c>
      <c r="G26" t="s">
        <v>33</v>
      </c>
      <c r="H26" t="s">
        <v>34</v>
      </c>
      <c r="I26" t="s">
        <v>119</v>
      </c>
      <c r="J26" t="s">
        <v>94</v>
      </c>
    </row>
    <row r="27" spans="1:10" x14ac:dyDescent="0.2">
      <c r="A27" t="s">
        <v>13</v>
      </c>
      <c r="B27" t="s">
        <v>7</v>
      </c>
      <c r="C27" t="str">
        <f t="shared" si="1"/>
        <v>BLNVB-C1</v>
      </c>
      <c r="D27" t="s">
        <v>2</v>
      </c>
      <c r="E27">
        <v>4</v>
      </c>
      <c r="F27" t="s">
        <v>91</v>
      </c>
      <c r="G27" t="s">
        <v>59</v>
      </c>
      <c r="H27" t="s">
        <v>60</v>
      </c>
      <c r="I27" t="s">
        <v>120</v>
      </c>
      <c r="J27" t="s">
        <v>92</v>
      </c>
    </row>
    <row r="28" spans="1:10" x14ac:dyDescent="0.2">
      <c r="A28" t="s">
        <v>10</v>
      </c>
      <c r="B28" t="s">
        <v>7</v>
      </c>
      <c r="C28" t="str">
        <f t="shared" si="1"/>
        <v>B8NHW-C1</v>
      </c>
      <c r="D28" t="s">
        <v>2</v>
      </c>
      <c r="E28">
        <v>2</v>
      </c>
      <c r="F28">
        <v>2</v>
      </c>
      <c r="G28" t="s">
        <v>37</v>
      </c>
      <c r="H28" t="s">
        <v>38</v>
      </c>
      <c r="I28" t="s">
        <v>138</v>
      </c>
      <c r="J28" t="s">
        <v>93</v>
      </c>
    </row>
    <row r="29" spans="1:10" x14ac:dyDescent="0.2">
      <c r="A29" t="s">
        <v>15</v>
      </c>
      <c r="B29" t="s">
        <v>1</v>
      </c>
      <c r="C29" t="str">
        <f t="shared" si="1"/>
        <v>BM7MO-A1</v>
      </c>
      <c r="D29" t="s">
        <v>2</v>
      </c>
      <c r="E29">
        <v>2</v>
      </c>
      <c r="F29">
        <v>2</v>
      </c>
      <c r="G29" t="s">
        <v>69</v>
      </c>
      <c r="H29" t="s">
        <v>70</v>
      </c>
      <c r="I29" t="s">
        <v>121</v>
      </c>
      <c r="J29" t="s">
        <v>94</v>
      </c>
    </row>
    <row r="30" spans="1:10" x14ac:dyDescent="0.2">
      <c r="A30" t="s">
        <v>18</v>
      </c>
      <c r="B30" t="s">
        <v>3</v>
      </c>
      <c r="C30" t="str">
        <f t="shared" si="1"/>
        <v>BQCK7-B1</v>
      </c>
      <c r="D30" t="s">
        <v>2</v>
      </c>
      <c r="E30">
        <v>2</v>
      </c>
      <c r="F30">
        <v>2</v>
      </c>
      <c r="G30" t="s">
        <v>87</v>
      </c>
      <c r="H30" t="s">
        <v>88</v>
      </c>
      <c r="I30" t="s">
        <v>139</v>
      </c>
      <c r="J30" t="s">
        <v>93</v>
      </c>
    </row>
    <row r="31" spans="1:10" x14ac:dyDescent="0.2">
      <c r="A31" t="s">
        <v>6</v>
      </c>
      <c r="B31" t="s">
        <v>3</v>
      </c>
      <c r="C31" t="str">
        <f t="shared" si="1"/>
        <v>B378A-B1</v>
      </c>
      <c r="D31" t="s">
        <v>2</v>
      </c>
      <c r="E31">
        <v>4</v>
      </c>
      <c r="F31" t="s">
        <v>91</v>
      </c>
      <c r="G31" t="s">
        <v>21</v>
      </c>
      <c r="H31" t="s">
        <v>22</v>
      </c>
      <c r="I31" t="s">
        <v>140</v>
      </c>
      <c r="J31" t="s">
        <v>92</v>
      </c>
    </row>
    <row r="32" spans="1:10" x14ac:dyDescent="0.2">
      <c r="A32" t="s">
        <v>15</v>
      </c>
      <c r="B32" t="s">
        <v>7</v>
      </c>
      <c r="C32" t="str">
        <f t="shared" si="1"/>
        <v>BM7MO-C1</v>
      </c>
      <c r="D32" t="s">
        <v>2</v>
      </c>
      <c r="E32">
        <v>3</v>
      </c>
      <c r="F32">
        <v>3</v>
      </c>
      <c r="G32" t="s">
        <v>73</v>
      </c>
      <c r="H32" t="s">
        <v>74</v>
      </c>
      <c r="I32" t="s">
        <v>122</v>
      </c>
      <c r="J32" t="s">
        <v>93</v>
      </c>
    </row>
    <row r="33" spans="1:10" x14ac:dyDescent="0.2">
      <c r="A33" t="s">
        <v>16</v>
      </c>
      <c r="B33" t="s">
        <v>3</v>
      </c>
      <c r="C33" t="str">
        <f t="shared" si="1"/>
        <v>BMYUL-B1</v>
      </c>
      <c r="D33" t="s">
        <v>2</v>
      </c>
      <c r="E33">
        <v>2</v>
      </c>
      <c r="F33">
        <v>2</v>
      </c>
      <c r="G33" t="s">
        <v>77</v>
      </c>
      <c r="H33" t="s">
        <v>78</v>
      </c>
      <c r="I33" t="s">
        <v>123</v>
      </c>
      <c r="J33" t="s">
        <v>92</v>
      </c>
    </row>
    <row r="34" spans="1:10" x14ac:dyDescent="0.2">
      <c r="A34" t="s">
        <v>18</v>
      </c>
      <c r="B34" t="s">
        <v>7</v>
      </c>
      <c r="C34" t="str">
        <f t="shared" si="1"/>
        <v>BQCK7-C1</v>
      </c>
      <c r="D34" t="s">
        <v>2</v>
      </c>
      <c r="E34">
        <v>4</v>
      </c>
      <c r="F34" t="s">
        <v>91</v>
      </c>
      <c r="G34" t="s">
        <v>89</v>
      </c>
      <c r="H34" t="s">
        <v>90</v>
      </c>
      <c r="I34" t="s">
        <v>124</v>
      </c>
      <c r="J34" t="s">
        <v>92</v>
      </c>
    </row>
    <row r="35" spans="1:10" x14ac:dyDescent="0.2">
      <c r="A35" t="s">
        <v>18</v>
      </c>
      <c r="B35" t="s">
        <v>1</v>
      </c>
      <c r="C35" t="str">
        <f t="shared" si="1"/>
        <v>BQCK7-A1</v>
      </c>
      <c r="D35" t="s">
        <v>2</v>
      </c>
      <c r="E35">
        <v>1</v>
      </c>
      <c r="F35">
        <v>1</v>
      </c>
      <c r="G35" t="s">
        <v>85</v>
      </c>
      <c r="H35" t="s">
        <v>86</v>
      </c>
      <c r="I35" t="s">
        <v>141</v>
      </c>
      <c r="J35" t="s">
        <v>93</v>
      </c>
    </row>
    <row r="36" spans="1:10" x14ac:dyDescent="0.2">
      <c r="A36" t="s">
        <v>6</v>
      </c>
      <c r="B36" t="s">
        <v>7</v>
      </c>
      <c r="C36" t="str">
        <f t="shared" si="1"/>
        <v>B378A-C1</v>
      </c>
      <c r="D36" t="s">
        <v>2</v>
      </c>
      <c r="E36">
        <v>3</v>
      </c>
      <c r="F36">
        <v>3</v>
      </c>
      <c r="G36" t="s">
        <v>23</v>
      </c>
      <c r="H36" t="s">
        <v>24</v>
      </c>
      <c r="I36" t="s">
        <v>125</v>
      </c>
      <c r="J36" t="s">
        <v>92</v>
      </c>
    </row>
    <row r="37" spans="1:10" x14ac:dyDescent="0.2">
      <c r="A37" t="s">
        <v>13</v>
      </c>
      <c r="B37" t="s">
        <v>9</v>
      </c>
      <c r="C37" t="str">
        <f t="shared" si="1"/>
        <v>BLNVB-D1</v>
      </c>
      <c r="D37" t="s">
        <v>2</v>
      </c>
      <c r="E37">
        <v>3</v>
      </c>
      <c r="F37">
        <v>3</v>
      </c>
      <c r="G37" t="s">
        <v>61</v>
      </c>
      <c r="H37" t="s">
        <v>62</v>
      </c>
      <c r="I37" t="s">
        <v>142</v>
      </c>
      <c r="J37" t="s">
        <v>92</v>
      </c>
    </row>
    <row r="38" spans="1:10" x14ac:dyDescent="0.2">
      <c r="A38" t="s">
        <v>15</v>
      </c>
      <c r="B38" t="s">
        <v>3</v>
      </c>
      <c r="C38" t="str">
        <f t="shared" si="1"/>
        <v>BM7MO-B1</v>
      </c>
      <c r="D38" t="s">
        <v>2</v>
      </c>
      <c r="E38">
        <v>2</v>
      </c>
      <c r="F38">
        <v>2</v>
      </c>
      <c r="G38" t="s">
        <v>71</v>
      </c>
      <c r="H38" t="s">
        <v>72</v>
      </c>
      <c r="I38" t="s">
        <v>126</v>
      </c>
      <c r="J38" t="s">
        <v>94</v>
      </c>
    </row>
    <row r="39" spans="1:10" x14ac:dyDescent="0.2">
      <c r="A39" t="s">
        <v>0</v>
      </c>
      <c r="B39" t="s">
        <v>3</v>
      </c>
      <c r="C39" t="s">
        <v>5</v>
      </c>
      <c r="D39" t="s">
        <v>2</v>
      </c>
      <c r="E39">
        <v>4</v>
      </c>
      <c r="F39" t="s">
        <v>106</v>
      </c>
      <c r="G39" t="s">
        <v>103</v>
      </c>
      <c r="H39" t="s">
        <v>105</v>
      </c>
      <c r="I39" t="s">
        <v>103</v>
      </c>
      <c r="J39" t="s">
        <v>92</v>
      </c>
    </row>
  </sheetData>
  <sortState xmlns:xlrd2="http://schemas.microsoft.com/office/spreadsheetml/2017/richdata2" ref="A2:J39">
    <sortCondition ref="G1:G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Veizades</dc:creator>
  <cp:lastModifiedBy>Stefan Veizades</cp:lastModifiedBy>
  <dcterms:created xsi:type="dcterms:W3CDTF">2026-02-11T11:46:22Z</dcterms:created>
  <dcterms:modified xsi:type="dcterms:W3CDTF">2026-04-26T17:17:21Z</dcterms:modified>
</cp:coreProperties>
</file>